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Comparison" sheetId="1" state="visible" r:id="rId1"/>
    <sheet xmlns:r="http://schemas.openxmlformats.org/officeDocument/2006/relationships" name="2. Detailed (Long Format)" sheetId="2" state="visible" r:id="rId2"/>
    <sheet xmlns:r="http://schemas.openxmlformats.org/officeDocument/2006/relationships" name="3. Metrics by Version" sheetId="3" state="visible" r:id="rId3"/>
    <sheet xmlns:r="http://schemas.openxmlformats.org/officeDocument/2006/relationships" name="4. Prompt Comparison" sheetId="4" state="visible" r:id="rId4"/>
    <sheet xmlns:r="http://schemas.openxmlformats.org/officeDocument/2006/relationships" name="5. Error Analysis" sheetId="5" state="visible" r:id="rId5"/>
    <sheet xmlns:r="http://schemas.openxmlformats.org/officeDocument/2006/relationships" name="6. Reasoning Examples" sheetId="6" state="visible" r:id="rId6"/>
    <sheet xmlns:r="http://schemas.openxmlformats.org/officeDocument/2006/relationships" name="7. By Categ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8" customWidth="1" min="7" max="7"/>
    <col width="12" customWidth="1" min="8" max="8"/>
    <col width="18" customWidth="1" min="9" max="9"/>
    <col width="30" customWidth="1" min="10" max="10"/>
    <col width="10" customWidth="1" min="11" max="11"/>
    <col width="8" customWidth="1" min="12" max="12"/>
    <col width="12" customWidth="1" min="13" max="13"/>
    <col width="18" customWidth="1" min="14" max="14"/>
    <col width="30" customWidth="1" min="15" max="15"/>
    <col width="10" customWidth="1" min="16" max="16"/>
    <col width="8" customWidth="1" min="17" max="17"/>
    <col width="12" customWidth="1" min="18" max="18"/>
    <col width="18" customWidth="1" min="19" max="19"/>
    <col width="30" customWidth="1" min="20" max="20"/>
    <col width="18" customWidth="1" min="21" max="21"/>
    <col width="22" customWidth="1" min="22" max="22"/>
    <col width="25" customWidth="1" min="23" max="23"/>
  </cols>
  <sheetData>
    <row r="1" ht="25" customHeight="1">
      <c r="A1" s="1" t="inlineStr">
        <is>
          <t>Video Info</t>
        </is>
      </c>
      <c r="F1" s="2" t="inlineStr">
        <is>
          <t>Version A (Original)</t>
        </is>
      </c>
      <c r="K1" s="3" t="inlineStr">
        <is>
          <t>Version B (Full Clean)</t>
        </is>
      </c>
      <c r="P1" s="4" t="inlineStr">
        <is>
          <t>Version C (AI Label Only)</t>
        </is>
      </c>
      <c r="U1" s="5" t="inlineStr">
        <is>
          <t>Analysis</t>
        </is>
      </c>
    </row>
    <row r="2" ht="35" customHeight="1">
      <c r="A2" s="1" t="inlineStr">
        <is>
          <t>Video ID</t>
        </is>
      </c>
      <c r="B2" s="1" t="inlineStr">
        <is>
          <t>Category</t>
        </is>
      </c>
      <c r="C2" s="1" t="inlineStr">
        <is>
          <t>Generator</t>
        </is>
      </c>
      <c r="D2" s="1" t="inlineStr">
        <is>
          <t>Ground Truth</t>
        </is>
      </c>
      <c r="E2" s="1" t="inlineStr">
        <is>
          <t>Duration(s)</t>
        </is>
      </c>
      <c r="F2" s="2" t="inlineStr">
        <is>
          <t>Verdict</t>
        </is>
      </c>
      <c r="G2" s="2" t="inlineStr">
        <is>
          <t>Conf.</t>
        </is>
      </c>
      <c r="H2" s="2" t="inlineStr">
        <is>
          <t>Watermark?</t>
        </is>
      </c>
      <c r="I2" s="2" t="inlineStr">
        <is>
          <t>Artifacts</t>
        </is>
      </c>
      <c r="J2" s="2" t="inlineStr">
        <is>
          <t>Key Reasoning</t>
        </is>
      </c>
      <c r="K2" s="3" t="inlineStr">
        <is>
          <t>Verdict</t>
        </is>
      </c>
      <c r="L2" s="3" t="inlineStr">
        <is>
          <t>Conf.</t>
        </is>
      </c>
      <c r="M2" s="3" t="inlineStr">
        <is>
          <t>Watermark?</t>
        </is>
      </c>
      <c r="N2" s="3" t="inlineStr">
        <is>
          <t>Artifacts</t>
        </is>
      </c>
      <c r="O2" s="3" t="inlineStr">
        <is>
          <t>Key Reasoning</t>
        </is>
      </c>
      <c r="P2" s="4" t="inlineStr">
        <is>
          <t>Verdict</t>
        </is>
      </c>
      <c r="Q2" s="4" t="inlineStr">
        <is>
          <t>Conf.</t>
        </is>
      </c>
      <c r="R2" s="4" t="inlineStr">
        <is>
          <t>Watermark?</t>
        </is>
      </c>
      <c r="S2" s="4" t="inlineStr">
        <is>
          <t>Artifacts</t>
        </is>
      </c>
      <c r="T2" s="4" t="inlineStr">
        <is>
          <t>Key Reasoning</t>
        </is>
      </c>
      <c r="U2" s="5" t="inlineStr">
        <is>
          <t>Verdict Changed?</t>
        </is>
      </c>
      <c r="V2" s="5" t="inlineStr">
        <is>
          <t>Reasoning Shifted?</t>
        </is>
      </c>
      <c r="W2" s="5" t="inlineStr">
        <is>
          <t>Notes</t>
        </is>
      </c>
    </row>
    <row r="3">
      <c r="A3" s="6" t="inlineStr">
        <is>
          <t>V01</t>
        </is>
      </c>
      <c r="B3" s="6" t="inlineStr">
        <is>
          <t>Face Swap</t>
        </is>
      </c>
      <c r="C3" s="6" t="inlineStr">
        <is>
          <t>Siggfield AI</t>
        </is>
      </c>
      <c r="D3" s="6" t="inlineStr">
        <is>
          <t>FAKE</t>
        </is>
      </c>
      <c r="E3" s="6" t="n">
        <v>8.029999999999999</v>
      </c>
      <c r="F3" s="7" t="inlineStr">
        <is>
          <t>FAKE</t>
        </is>
      </c>
      <c r="G3" s="7" t="inlineStr">
        <is>
          <t>High</t>
        </is>
      </c>
      <c r="H3" s="7" t="inlineStr">
        <is>
          <t>YES</t>
        </is>
      </c>
      <c r="I3" s="7" t="inlineStr">
        <is>
          <t>lip, temporal</t>
        </is>
      </c>
      <c r="J3" s="8" t="inlineStr">
        <is>
          <t>TikTok watermark indicates AI...</t>
        </is>
      </c>
      <c r="K3" s="9" t="inlineStr">
        <is>
          <t>FAKE</t>
        </is>
      </c>
      <c r="L3" s="9" t="inlineStr">
        <is>
          <t>High</t>
        </is>
      </c>
      <c r="M3" s="9" t="inlineStr">
        <is>
          <t>NO</t>
        </is>
      </c>
      <c r="N3" s="9" t="inlineStr">
        <is>
          <t>lip, edge, motion</t>
        </is>
      </c>
      <c r="O3" s="10" t="inlineStr">
        <is>
          <t>Lip sync artifacts detected...</t>
        </is>
      </c>
      <c r="P3" s="11" t="inlineStr">
        <is>
          <t>FAKE</t>
        </is>
      </c>
      <c r="Q3" s="11" t="inlineStr">
        <is>
          <t>High</t>
        </is>
      </c>
      <c r="R3" s="11" t="inlineStr">
        <is>
          <t>NO</t>
        </is>
      </c>
      <c r="S3" s="11" t="inlineStr">
        <is>
          <t>lip, temporal, texture</t>
        </is>
      </c>
      <c r="T3" s="12" t="inlineStr">
        <is>
          <t>Frame transitions unnatural...</t>
        </is>
      </c>
      <c r="U3" s="6" t="inlineStr">
        <is>
          <t>NO</t>
        </is>
      </c>
      <c r="V3" s="6" t="inlineStr">
        <is>
          <t>YES (watermark→artifact)</t>
        </is>
      </c>
      <c r="W3" s="13" t="inlineStr">
        <is>
          <t>Success case</t>
        </is>
      </c>
    </row>
    <row r="4">
      <c r="A4" s="6" t="inlineStr">
        <is>
          <t>V02</t>
        </is>
      </c>
      <c r="B4" s="6" t="inlineStr">
        <is>
          <t>Lip-Sync</t>
        </is>
      </c>
      <c r="C4" s="6" t="inlineStr">
        <is>
          <t>Unknown</t>
        </is>
      </c>
      <c r="D4" s="6" t="inlineStr">
        <is>
          <t>FAKE</t>
        </is>
      </c>
      <c r="E4" s="6" t="n">
        <v>12.5</v>
      </c>
      <c r="F4" s="7" t="inlineStr">
        <is>
          <t>FAKE</t>
        </is>
      </c>
      <c r="G4" s="7" t="inlineStr">
        <is>
          <t>Med</t>
        </is>
      </c>
      <c r="H4" s="7" t="inlineStr">
        <is>
          <t>YES</t>
        </is>
      </c>
      <c r="I4" s="7" t="inlineStr">
        <is>
          <t>lip</t>
        </is>
      </c>
      <c r="J4" s="8" t="inlineStr">
        <is>
          <t>Label says AI generated...</t>
        </is>
      </c>
      <c r="K4" s="9" t="inlineStr">
        <is>
          <t>FAKE</t>
        </is>
      </c>
      <c r="L4" s="9" t="inlineStr">
        <is>
          <t>High</t>
        </is>
      </c>
      <c r="M4" s="9" t="inlineStr">
        <is>
          <t>NO</t>
        </is>
      </c>
      <c r="N4" s="9" t="inlineStr">
        <is>
          <t>lip, audio, motion</t>
        </is>
      </c>
      <c r="O4" s="10" t="inlineStr">
        <is>
          <t>Audio-visual desync at 3.2s...</t>
        </is>
      </c>
      <c r="P4" s="11" t="inlineStr">
        <is>
          <t>FAKE</t>
        </is>
      </c>
      <c r="Q4" s="11" t="inlineStr">
        <is>
          <t>High</t>
        </is>
      </c>
      <c r="R4" s="11" t="inlineStr">
        <is>
          <t>NO</t>
        </is>
      </c>
      <c r="S4" s="11" t="inlineStr">
        <is>
          <t>lip, temporal</t>
        </is>
      </c>
      <c r="T4" s="12" t="inlineStr">
        <is>
          <t>Mouth shape inconsistent...</t>
        </is>
      </c>
      <c r="U4" s="6" t="inlineStr">
        <is>
          <t>NO</t>
        </is>
      </c>
      <c r="V4" s="6" t="inlineStr">
        <is>
          <t>YES</t>
        </is>
      </c>
      <c r="W4" s="13" t="inlineStr">
        <is>
          <t>Confidence improved</t>
        </is>
      </c>
    </row>
    <row r="5">
      <c r="A5" s="6" t="inlineStr">
        <is>
          <t>V03</t>
        </is>
      </c>
      <c r="B5" s="6" t="inlineStr">
        <is>
          <t>Meme AI</t>
        </is>
      </c>
      <c r="C5" s="6" t="inlineStr">
        <is>
          <t>Unknown</t>
        </is>
      </c>
      <c r="D5" s="6" t="inlineStr">
        <is>
          <t>UNCERTAIN</t>
        </is>
      </c>
      <c r="E5" s="6" t="n">
        <v>6.2</v>
      </c>
      <c r="F5" s="7" t="inlineStr">
        <is>
          <t>INCONCLUSIVE</t>
        </is>
      </c>
      <c r="G5" s="7" t="inlineStr">
        <is>
          <t>Low</t>
        </is>
      </c>
      <c r="H5" s="7" t="inlineStr">
        <is>
          <t>NO</t>
        </is>
      </c>
      <c r="I5" s="7" t="inlineStr">
        <is>
          <t>texture</t>
        </is>
      </c>
      <c r="J5" s="8" t="inlineStr">
        <is>
          <t>Stylized content...</t>
        </is>
      </c>
      <c r="K5" s="9" t="inlineStr">
        <is>
          <t>INCONCLUSIVE</t>
        </is>
      </c>
      <c r="L5" s="9" t="inlineStr">
        <is>
          <t>Low</t>
        </is>
      </c>
      <c r="M5" s="9" t="inlineStr">
        <is>
          <t>NO</t>
        </is>
      </c>
      <c r="N5" s="9" t="inlineStr">
        <is>
          <t>texture</t>
        </is>
      </c>
      <c r="O5" s="10" t="inlineStr">
        <is>
          <t>Cannot determine...</t>
        </is>
      </c>
      <c r="P5" s="11" t="inlineStr">
        <is>
          <t>INCONCLUSIVE</t>
        </is>
      </c>
      <c r="Q5" s="11" t="inlineStr">
        <is>
          <t>Low</t>
        </is>
      </c>
      <c r="R5" s="11" t="inlineStr">
        <is>
          <t>NO</t>
        </is>
      </c>
      <c r="S5" s="11" t="inlineStr">
        <is>
          <t>texture</t>
        </is>
      </c>
      <c r="T5" s="12" t="inlineStr">
        <is>
          <t>Artistic style unclear...</t>
        </is>
      </c>
      <c r="U5" s="6" t="inlineStr">
        <is>
          <t>NO</t>
        </is>
      </c>
      <c r="V5" s="6" t="inlineStr">
        <is>
          <t>NO</t>
        </is>
      </c>
      <c r="W5" s="13" t="inlineStr">
        <is>
          <t>Edge case - stylized</t>
        </is>
      </c>
    </row>
    <row r="6">
      <c r="A6" s="6" t="inlineStr">
        <is>
          <t>V04</t>
        </is>
      </c>
      <c r="B6" s="6" t="inlineStr">
        <is>
          <t>Fake News</t>
        </is>
      </c>
      <c r="C6" s="6" t="inlineStr">
        <is>
          <t>DeepFaceLab</t>
        </is>
      </c>
      <c r="D6" s="6" t="inlineStr">
        <is>
          <t>FAKE</t>
        </is>
      </c>
      <c r="E6" s="6" t="n">
        <v>15.8</v>
      </c>
      <c r="F6" s="7" t="inlineStr">
        <is>
          <t>REAL</t>
        </is>
      </c>
      <c r="G6" s="7" t="inlineStr">
        <is>
          <t>Med</t>
        </is>
      </c>
      <c r="H6" s="7" t="inlineStr">
        <is>
          <t>NO</t>
        </is>
      </c>
      <c r="I6" s="7" t="inlineStr"/>
      <c r="J6" s="8" t="inlineStr">
        <is>
          <t>No obvious signs...</t>
        </is>
      </c>
      <c r="K6" s="9" t="inlineStr">
        <is>
          <t>FAKE</t>
        </is>
      </c>
      <c r="L6" s="9" t="inlineStr">
        <is>
          <t>High</t>
        </is>
      </c>
      <c r="M6" s="9" t="inlineStr">
        <is>
          <t>NO</t>
        </is>
      </c>
      <c r="N6" s="9" t="inlineStr">
        <is>
          <t>boundary, lighting</t>
        </is>
      </c>
      <c r="O6" s="10" t="inlineStr">
        <is>
          <t>Face boundary artifacts...</t>
        </is>
      </c>
      <c r="P6" s="11" t="inlineStr">
        <is>
          <t>FAKE</t>
        </is>
      </c>
      <c r="Q6" s="11" t="inlineStr">
        <is>
          <t>Med</t>
        </is>
      </c>
      <c r="R6" s="11" t="inlineStr">
        <is>
          <t>NO</t>
        </is>
      </c>
      <c r="S6" s="11" t="inlineStr">
        <is>
          <t>boundary</t>
        </is>
      </c>
      <c r="T6" s="12" t="inlineStr">
        <is>
          <t>Lighting inconsistency...</t>
        </is>
      </c>
      <c r="U6" s="6" t="inlineStr">
        <is>
          <t>YES (A→B,C)</t>
        </is>
      </c>
      <c r="V6" s="6" t="inlineStr">
        <is>
          <t>YES</t>
        </is>
      </c>
      <c r="W6" s="13" t="inlineStr">
        <is>
          <t>False negative fixed</t>
        </is>
      </c>
    </row>
  </sheetData>
  <mergeCells count="5">
    <mergeCell ref="U1:W1"/>
    <mergeCell ref="K1:O1"/>
    <mergeCell ref="P1:T1"/>
    <mergeCell ref="A1:E1"/>
    <mergeCell ref="F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14" customWidth="1" min="11" max="11"/>
    <col width="25" customWidth="1" min="12" max="12"/>
    <col width="15" customWidth="1" min="13" max="13"/>
    <col width="12" customWidth="1" min="14" max="14"/>
    <col width="45" customWidth="1" min="15" max="15"/>
  </cols>
  <sheetData>
    <row r="1">
      <c r="A1" s="2" t="inlineStr">
        <is>
          <t>Video ID</t>
        </is>
      </c>
      <c r="B1" s="2" t="inlineStr">
        <is>
          <t>Version</t>
        </is>
      </c>
      <c r="C1" s="2" t="inlineStr">
        <is>
          <t>Prompt ID</t>
        </is>
      </c>
      <c r="D1" s="2" t="inlineStr">
        <is>
          <t>Ground Truth</t>
        </is>
      </c>
      <c r="E1" s="2" t="inlineStr">
        <is>
          <t>Category</t>
        </is>
      </c>
      <c r="F1" s="2" t="inlineStr">
        <is>
          <t>Generator</t>
        </is>
      </c>
      <c r="G1" s="2" t="inlineStr">
        <is>
          <t>Verdict</t>
        </is>
      </c>
      <c r="H1" s="2" t="inlineStr">
        <is>
          <t>Correct?</t>
        </is>
      </c>
      <c r="I1" s="2" t="inlineStr">
        <is>
          <t>Confidence</t>
        </is>
      </c>
      <c r="J1" s="2" t="inlineStr">
        <is>
          <t>Cited Watermark</t>
        </is>
      </c>
      <c r="K1" s="2" t="inlineStr">
        <is>
          <t>Cited Artifacts</t>
        </is>
      </c>
      <c r="L1" s="2" t="inlineStr">
        <is>
          <t>Artifact List</t>
        </is>
      </c>
      <c r="M1" s="2" t="inlineStr">
        <is>
          <t>Reasoning Length</t>
        </is>
      </c>
      <c r="N1" s="2" t="inlineStr">
        <is>
          <t>Latency (s)</t>
        </is>
      </c>
      <c r="O1" s="2" t="inlineStr">
        <is>
          <t>Key Quote from Reasoning</t>
        </is>
      </c>
    </row>
    <row r="2">
      <c r="A2" s="6" t="inlineStr">
        <is>
          <t>V01</t>
        </is>
      </c>
      <c r="B2" s="6" t="inlineStr">
        <is>
          <t>A_original</t>
        </is>
      </c>
      <c r="C2" s="6" t="inlineStr">
        <is>
          <t>P1</t>
        </is>
      </c>
      <c r="D2" s="6" t="inlineStr">
        <is>
          <t>FAKE</t>
        </is>
      </c>
      <c r="E2" s="6" t="inlineStr">
        <is>
          <t>Face Swap</t>
        </is>
      </c>
      <c r="F2" s="6" t="inlineStr">
        <is>
          <t>Siggfield AI</t>
        </is>
      </c>
      <c r="G2" s="6" t="inlineStr">
        <is>
          <t>FAKE</t>
        </is>
      </c>
      <c r="H2" s="6" t="inlineStr">
        <is>
          <t>TRUE</t>
        </is>
      </c>
      <c r="I2" s="6" t="inlineStr">
        <is>
          <t>High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lip, temporal</t>
        </is>
      </c>
      <c r="M2" s="6" t="n">
        <v>87</v>
      </c>
      <c r="N2" s="6" t="n">
        <v>2.45</v>
      </c>
      <c r="O2" s="13" t="inlineStr">
        <is>
          <t>The TikTok watermark and 'AI generated' label...</t>
        </is>
      </c>
    </row>
    <row r="3">
      <c r="A3" s="6" t="inlineStr">
        <is>
          <t>V01</t>
        </is>
      </c>
      <c r="B3" s="6" t="inlineStr">
        <is>
          <t>B_full_clean</t>
        </is>
      </c>
      <c r="C3" s="6" t="inlineStr">
        <is>
          <t>P1</t>
        </is>
      </c>
      <c r="D3" s="6" t="inlineStr">
        <is>
          <t>FAKE</t>
        </is>
      </c>
      <c r="E3" s="6" t="inlineStr">
        <is>
          <t>Face Swap</t>
        </is>
      </c>
      <c r="F3" s="6" t="inlineStr">
        <is>
          <t>Siggfield AI</t>
        </is>
      </c>
      <c r="G3" s="6" t="inlineStr">
        <is>
          <t>FAKE</t>
        </is>
      </c>
      <c r="H3" s="6" t="inlineStr">
        <is>
          <t>TRUE</t>
        </is>
      </c>
      <c r="I3" s="6" t="inlineStr">
        <is>
          <t>High</t>
        </is>
      </c>
      <c r="J3" s="6" t="inlineStr">
        <is>
          <t>NO</t>
        </is>
      </c>
      <c r="K3" s="6" t="inlineStr">
        <is>
          <t>YES</t>
        </is>
      </c>
      <c r="L3" s="6" t="inlineStr">
        <is>
          <t>lip, edge, motion, boundary</t>
        </is>
      </c>
      <c r="M3" s="6" t="n">
        <v>112</v>
      </c>
      <c r="N3" s="6" t="n">
        <v>2.31</v>
      </c>
      <c r="O3" s="13" t="inlineStr">
        <is>
          <t>Frame-to-frame analysis reveals inconsistent lip sync...</t>
        </is>
      </c>
    </row>
    <row r="4">
      <c r="A4" s="6" t="inlineStr">
        <is>
          <t>V01</t>
        </is>
      </c>
      <c r="B4" s="6" t="inlineStr">
        <is>
          <t>C_selective</t>
        </is>
      </c>
      <c r="C4" s="6" t="inlineStr">
        <is>
          <t>P1</t>
        </is>
      </c>
      <c r="D4" s="6" t="inlineStr">
        <is>
          <t>FAKE</t>
        </is>
      </c>
      <c r="E4" s="6" t="inlineStr">
        <is>
          <t>Face Swap</t>
        </is>
      </c>
      <c r="F4" s="6" t="inlineStr">
        <is>
          <t>Siggfield AI</t>
        </is>
      </c>
      <c r="G4" s="6" t="inlineStr">
        <is>
          <t>FAKE</t>
        </is>
      </c>
      <c r="H4" s="6" t="inlineStr">
        <is>
          <t>TRUE</t>
        </is>
      </c>
      <c r="I4" s="6" t="inlineStr">
        <is>
          <t>High</t>
        </is>
      </c>
      <c r="J4" s="6" t="inlineStr">
        <is>
          <t>NO</t>
        </is>
      </c>
      <c r="K4" s="6" t="inlineStr">
        <is>
          <t>YES</t>
        </is>
      </c>
      <c r="L4" s="6" t="inlineStr">
        <is>
          <t>lip, temporal, texture</t>
        </is>
      </c>
      <c r="M4" s="6" t="n">
        <v>98</v>
      </c>
      <c r="N4" s="6" t="n">
        <v>2.38</v>
      </c>
      <c r="O4" s="13" t="inlineStr">
        <is>
          <t>Temporal artifacts visible in facial region transitions...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2" t="inlineStr">
        <is>
          <t>Metric</t>
        </is>
      </c>
      <c r="B1" s="2" t="inlineStr">
        <is>
          <t>Version A</t>
        </is>
      </c>
      <c r="C1" s="2" t="inlineStr">
        <is>
          <t>Version B</t>
        </is>
      </c>
      <c r="D1" s="2" t="inlineStr">
        <is>
          <t>Version C</t>
        </is>
      </c>
      <c r="E1" s="2" t="inlineStr">
        <is>
          <t>Notes</t>
        </is>
      </c>
    </row>
    <row r="2">
      <c r="A2" s="6" t="inlineStr">
        <is>
          <t>Sample Size (n)</t>
        </is>
      </c>
      <c r="B2" s="6" t="n">
        <v>70</v>
      </c>
      <c r="C2" s="6" t="n">
        <v>70</v>
      </c>
      <c r="D2" s="6" t="n">
        <v>70</v>
      </c>
      <c r="E2" s="6" t="inlineStr"/>
    </row>
    <row r="3">
      <c r="A3" s="6" t="inlineStr"/>
      <c r="B3" s="6" t="inlineStr"/>
      <c r="C3" s="6" t="inlineStr"/>
      <c r="D3" s="6" t="inlineStr"/>
      <c r="E3" s="6" t="inlineStr"/>
    </row>
    <row r="4">
      <c r="A4" s="14" t="inlineStr">
        <is>
          <t>DETECTION PERFORMANCE</t>
        </is>
      </c>
      <c r="B4" s="6" t="inlineStr"/>
      <c r="C4" s="6" t="inlineStr"/>
      <c r="D4" s="6" t="inlineStr"/>
      <c r="E4" s="6" t="inlineStr"/>
    </row>
    <row r="5">
      <c r="A5" s="6" t="inlineStr">
        <is>
          <t>True Positives (TP)</t>
        </is>
      </c>
      <c r="B5" s="6" t="inlineStr"/>
      <c r="C5" s="6" t="inlineStr"/>
      <c r="D5" s="6" t="inlineStr"/>
      <c r="E5" s="6" t="inlineStr">
        <is>
          <t>Correctly identified FAKE</t>
        </is>
      </c>
    </row>
    <row r="6">
      <c r="A6" s="6" t="inlineStr">
        <is>
          <t>True Negatives (TN)</t>
        </is>
      </c>
      <c r="B6" s="6" t="inlineStr"/>
      <c r="C6" s="6" t="inlineStr"/>
      <c r="D6" s="6" t="inlineStr"/>
      <c r="E6" s="6" t="inlineStr">
        <is>
          <t>Correctly identified REAL</t>
        </is>
      </c>
    </row>
    <row r="7">
      <c r="A7" s="6" t="inlineStr">
        <is>
          <t>False Positives (FP)</t>
        </is>
      </c>
      <c r="B7" s="6" t="inlineStr"/>
      <c r="C7" s="6" t="inlineStr"/>
      <c r="D7" s="6" t="inlineStr"/>
      <c r="E7" s="6" t="inlineStr">
        <is>
          <t>Real marked as FAKE</t>
        </is>
      </c>
    </row>
    <row r="8">
      <c r="A8" s="6" t="inlineStr">
        <is>
          <t>False Negatives (FN)</t>
        </is>
      </c>
      <c r="B8" s="6" t="inlineStr"/>
      <c r="C8" s="6" t="inlineStr"/>
      <c r="D8" s="6" t="inlineStr"/>
      <c r="E8" s="6" t="inlineStr">
        <is>
          <t>Fake marked as REAL</t>
        </is>
      </c>
    </row>
    <row r="9">
      <c r="A9" s="6" t="inlineStr">
        <is>
          <t>Accuracy</t>
        </is>
      </c>
      <c r="B9" s="6" t="inlineStr"/>
      <c r="C9" s="6" t="inlineStr"/>
      <c r="D9" s="6" t="inlineStr"/>
      <c r="E9" s="6">
        <f>FORMULA</f>
        <v/>
      </c>
    </row>
    <row r="10">
      <c r="A10" s="6" t="inlineStr">
        <is>
          <t>Precision</t>
        </is>
      </c>
      <c r="B10" s="6" t="inlineStr"/>
      <c r="C10" s="6" t="inlineStr"/>
      <c r="D10" s="6" t="inlineStr"/>
      <c r="E10" s="6">
        <f>TP/(TP+FP)</f>
        <v/>
      </c>
    </row>
    <row r="11">
      <c r="A11" s="6" t="inlineStr">
        <is>
          <t>Recall</t>
        </is>
      </c>
      <c r="B11" s="6" t="inlineStr"/>
      <c r="C11" s="6" t="inlineStr"/>
      <c r="D11" s="6" t="inlineStr"/>
      <c r="E11" s="6">
        <f>TP/(TP+FN)</f>
        <v/>
      </c>
    </row>
    <row r="12">
      <c r="A12" s="6" t="inlineStr">
        <is>
          <t>F1-Score</t>
        </is>
      </c>
      <c r="B12" s="6" t="inlineStr"/>
      <c r="C12" s="6" t="inlineStr"/>
      <c r="D12" s="6" t="inlineStr"/>
      <c r="E12" s="6">
        <f>2×P×R/(P+R)</f>
        <v/>
      </c>
    </row>
    <row r="13">
      <c r="A13" s="6" t="inlineStr"/>
      <c r="B13" s="6" t="inlineStr"/>
      <c r="C13" s="6" t="inlineStr"/>
      <c r="D13" s="6" t="inlineStr"/>
      <c r="E13" s="6" t="inlineStr"/>
    </row>
    <row r="14">
      <c r="A14" s="14" t="inlineStr">
        <is>
          <t>REASONING QUALITY</t>
        </is>
      </c>
      <c r="B14" s="6" t="inlineStr"/>
      <c r="C14" s="6" t="inlineStr"/>
      <c r="D14" s="6" t="inlineStr"/>
      <c r="E14" s="6" t="inlineStr"/>
    </row>
    <row r="15">
      <c r="A15" s="6" t="inlineStr">
        <is>
          <t>Watermark Citation Rate</t>
        </is>
      </c>
      <c r="B15" s="6" t="inlineStr"/>
      <c r="C15" s="6" t="inlineStr"/>
      <c r="D15" s="6" t="inlineStr"/>
      <c r="E15" s="6" t="inlineStr">
        <is>
          <t>% explanations mentioning watermarks</t>
        </is>
      </c>
    </row>
    <row r="16">
      <c r="A16" s="6" t="inlineStr">
        <is>
          <t>Artifact Citation Rate</t>
        </is>
      </c>
      <c r="B16" s="6" t="inlineStr"/>
      <c r="C16" s="6" t="inlineStr"/>
      <c r="D16" s="6" t="inlineStr"/>
      <c r="E16" s="6" t="inlineStr">
        <is>
          <t>% explanations mentioning artifacts</t>
        </is>
      </c>
    </row>
    <row r="17">
      <c r="A17" s="6" t="inlineStr">
        <is>
          <t>Avg # Artifacts Cited</t>
        </is>
      </c>
      <c r="B17" s="6" t="inlineStr"/>
      <c r="C17" s="6" t="inlineStr"/>
      <c r="D17" s="6" t="inlineStr"/>
      <c r="E17" s="6" t="inlineStr">
        <is>
          <t>Mean count of artifact types</t>
        </is>
      </c>
    </row>
    <row r="18">
      <c r="A18" s="6" t="inlineStr">
        <is>
          <t>Avg Reasoning Length (words)</t>
        </is>
      </c>
      <c r="B18" s="6" t="inlineStr"/>
      <c r="C18" s="6" t="inlineStr"/>
      <c r="D18" s="6" t="inlineStr"/>
      <c r="E18" s="6" t="inlineStr"/>
    </row>
    <row r="19">
      <c r="A19" s="6" t="inlineStr"/>
      <c r="B19" s="6" t="inlineStr"/>
      <c r="C19" s="6" t="inlineStr"/>
      <c r="D19" s="6" t="inlineStr"/>
      <c r="E19" s="6" t="inlineStr"/>
    </row>
    <row r="20">
      <c r="A20" s="14" t="inlineStr">
        <is>
          <t>OPERATIONAL</t>
        </is>
      </c>
      <c r="B20" s="6" t="inlineStr"/>
      <c r="C20" s="6" t="inlineStr"/>
      <c r="D20" s="6" t="inlineStr"/>
      <c r="E20" s="6" t="inlineStr"/>
    </row>
    <row r="21">
      <c r="A21" s="6" t="inlineStr">
        <is>
          <t>Avg Latency (s)</t>
        </is>
      </c>
      <c r="B21" s="6" t="inlineStr"/>
      <c r="C21" s="6" t="inlineStr"/>
      <c r="D21" s="6" t="inlineStr"/>
      <c r="E21" s="6" t="inlineStr"/>
    </row>
    <row r="22">
      <c r="A22" s="6" t="inlineStr">
        <is>
          <t>Verdict Distribution - FAKE</t>
        </is>
      </c>
      <c r="B22" s="6" t="inlineStr"/>
      <c r="C22" s="6" t="inlineStr"/>
      <c r="D22" s="6" t="inlineStr"/>
      <c r="E22" s="6" t="inlineStr"/>
    </row>
    <row r="23">
      <c r="A23" s="6" t="inlineStr">
        <is>
          <t>Verdict Distribution - REAL</t>
        </is>
      </c>
      <c r="B23" s="6" t="inlineStr"/>
      <c r="C23" s="6" t="inlineStr"/>
      <c r="D23" s="6" t="inlineStr"/>
      <c r="E23" s="6" t="inlineStr"/>
    </row>
    <row r="24">
      <c r="A24" s="6" t="inlineStr">
        <is>
          <t>Verdict Distribution - INCONCLUSIVE</t>
        </is>
      </c>
      <c r="B24" s="6" t="inlineStr"/>
      <c r="C24" s="6" t="inlineStr"/>
      <c r="D24" s="6" t="inlineStr"/>
      <c r="E24" s="6" t="inlineStr"/>
    </row>
    <row r="25">
      <c r="A25" s="6" t="inlineStr"/>
      <c r="B25" s="6" t="inlineStr"/>
      <c r="C25" s="6" t="inlineStr"/>
      <c r="D25" s="6" t="inlineStr"/>
      <c r="E25" s="6" t="inlineStr"/>
    </row>
    <row r="26">
      <c r="A26" s="6" t="inlineStr">
        <is>
          <t>VERSION COMPARISON (vs A)</t>
        </is>
      </c>
      <c r="B26" s="6" t="inlineStr"/>
      <c r="C26" s="6" t="inlineStr"/>
      <c r="D26" s="6" t="inlineStr"/>
      <c r="E26" s="6" t="inlineStr"/>
    </row>
    <row r="27">
      <c r="A27" s="6" t="inlineStr">
        <is>
          <t>Verdict Changed (A→X)</t>
        </is>
      </c>
      <c r="B27" s="6" t="inlineStr">
        <is>
          <t>—</t>
        </is>
      </c>
      <c r="C27" s="6" t="inlineStr"/>
      <c r="D27" s="6" t="inlineStr"/>
      <c r="E27" s="6" t="inlineStr">
        <is>
          <t># videos where verdict changed</t>
        </is>
      </c>
    </row>
    <row r="28">
      <c r="A28" s="6" t="inlineStr">
        <is>
          <t>Reasoning Shifted (watermark→artifact)</t>
        </is>
      </c>
      <c r="B28" s="6" t="inlineStr">
        <is>
          <t>—</t>
        </is>
      </c>
      <c r="C28" s="6" t="inlineStr"/>
      <c r="D28" s="6" t="inlineStr"/>
      <c r="E28" s="6" t="inlineStr">
        <is>
          <t>Key metric for your hypothesis</t>
        </is>
      </c>
    </row>
    <row r="29">
      <c r="A29" s="6" t="inlineStr">
        <is>
          <t>False Negatives Corrected</t>
        </is>
      </c>
      <c r="B29" s="6" t="inlineStr">
        <is>
          <t>—</t>
        </is>
      </c>
      <c r="C29" s="6" t="inlineStr"/>
      <c r="D29" s="6" t="inlineStr"/>
      <c r="E29" s="6" t="inlineStr">
        <is>
          <t>Previously missed fakes now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2" t="inlineStr">
        <is>
          <t>Metric</t>
        </is>
      </c>
      <c r="B1" s="2" t="inlineStr">
        <is>
          <t>P1 (Forensic)</t>
        </is>
      </c>
      <c r="C1" s="2" t="inlineStr">
        <is>
          <t>P2 (Adversarial)</t>
        </is>
      </c>
      <c r="D1" s="2" t="inlineStr">
        <is>
          <t>P3 (Multi-Face)</t>
        </is>
      </c>
      <c r="E1" s="2" t="inlineStr">
        <is>
          <t>P4 (No OCR)</t>
        </is>
      </c>
      <c r="F1" s="2" t="inlineStr">
        <is>
          <t>Best</t>
        </is>
      </c>
    </row>
    <row r="2">
      <c r="A2" s="6" t="inlineStr">
        <is>
          <t>Accuracy on Version A</t>
        </is>
      </c>
      <c r="B2" s="6" t="inlineStr"/>
      <c r="C2" s="6" t="inlineStr"/>
      <c r="D2" s="6" t="inlineStr"/>
      <c r="E2" s="6" t="inlineStr"/>
      <c r="F2" s="6" t="inlineStr"/>
    </row>
    <row r="3">
      <c r="A3" s="6" t="inlineStr">
        <is>
          <t>Accuracy on Version B</t>
        </is>
      </c>
      <c r="B3" s="6" t="inlineStr"/>
      <c r="C3" s="6" t="inlineStr"/>
      <c r="D3" s="6" t="inlineStr"/>
      <c r="E3" s="6" t="inlineStr"/>
      <c r="F3" s="6" t="inlineStr"/>
    </row>
    <row r="4">
      <c r="A4" s="6" t="inlineStr">
        <is>
          <t>Accuracy on Version C</t>
        </is>
      </c>
      <c r="B4" s="6" t="inlineStr"/>
      <c r="C4" s="6" t="inlineStr"/>
      <c r="D4" s="6" t="inlineStr"/>
      <c r="E4" s="6" t="inlineStr"/>
      <c r="F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</row>
    <row r="6">
      <c r="A6" s="6" t="inlineStr">
        <is>
          <t>Watermark Citation Rate (A)</t>
        </is>
      </c>
      <c r="B6" s="6" t="inlineStr"/>
      <c r="C6" s="6" t="inlineStr"/>
      <c r="D6" s="6" t="inlineStr"/>
      <c r="E6" s="6" t="inlineStr"/>
      <c r="F6" s="6" t="inlineStr">
        <is>
          <t>Lower is better</t>
        </is>
      </c>
    </row>
    <row r="7">
      <c r="A7" s="6" t="inlineStr">
        <is>
          <t>Artifact Citation Rate (A)</t>
        </is>
      </c>
      <c r="B7" s="6" t="inlineStr"/>
      <c r="C7" s="6" t="inlineStr"/>
      <c r="D7" s="6" t="inlineStr"/>
      <c r="E7" s="6" t="inlineStr"/>
      <c r="F7" s="6" t="inlineStr">
        <is>
          <t>Higher is better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6" t="inlineStr">
        <is>
          <t>Avg Confidence Score</t>
        </is>
      </c>
      <c r="B9" s="6" t="inlineStr"/>
      <c r="C9" s="6" t="inlineStr"/>
      <c r="D9" s="6" t="inlineStr"/>
      <c r="E9" s="6" t="inlineStr"/>
      <c r="F9" s="6" t="inlineStr"/>
    </row>
    <row r="10">
      <c r="A10" s="6" t="inlineStr">
        <is>
          <t>Avg Reasoning Length</t>
        </is>
      </c>
      <c r="B10" s="6" t="inlineStr"/>
      <c r="C10" s="6" t="inlineStr"/>
      <c r="D10" s="6" t="inlineStr"/>
      <c r="E10" s="6" t="inlineStr"/>
      <c r="F10" s="6" t="inlineStr"/>
    </row>
    <row r="11">
      <c r="A11" s="6" t="inlineStr">
        <is>
          <t>Avg Latency (s)</t>
        </is>
      </c>
      <c r="B11" s="6" t="inlineStr"/>
      <c r="C11" s="6" t="inlineStr"/>
      <c r="D11" s="6" t="inlineStr"/>
      <c r="E11" s="6" t="inlineStr"/>
      <c r="F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6" t="inlineStr">
        <is>
          <t>Best for Face Swap</t>
        </is>
      </c>
      <c r="B13" s="6" t="inlineStr"/>
      <c r="C13" s="6" t="inlineStr"/>
      <c r="D13" s="6" t="inlineStr"/>
      <c r="E13" s="6" t="inlineStr"/>
      <c r="F13" s="6" t="inlineStr"/>
    </row>
    <row r="14">
      <c r="A14" s="6" t="inlineStr">
        <is>
          <t>Best for Lip-Sync</t>
        </is>
      </c>
      <c r="B14" s="6" t="inlineStr"/>
      <c r="C14" s="6" t="inlineStr"/>
      <c r="D14" s="6" t="inlineStr"/>
      <c r="E14" s="6" t="inlineStr"/>
      <c r="F14" s="6" t="inlineStr"/>
    </row>
    <row r="15">
      <c r="A15" s="6" t="inlineStr">
        <is>
          <t>Best for Meme AI</t>
        </is>
      </c>
      <c r="B15" s="6" t="inlineStr"/>
      <c r="C15" s="6" t="inlineStr"/>
      <c r="D15" s="6" t="inlineStr"/>
      <c r="E15" s="6" t="inlineStr"/>
      <c r="F15" s="6" t="inlineStr"/>
    </row>
    <row r="16">
      <c r="A16" s="6" t="inlineStr">
        <is>
          <t>Best for Fake News</t>
        </is>
      </c>
      <c r="B16" s="6" t="inlineStr"/>
      <c r="C16" s="6" t="inlineStr"/>
      <c r="D16" s="6" t="inlineStr"/>
      <c r="E16" s="6" t="inlineStr"/>
      <c r="F1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5" customWidth="1" min="7" max="7"/>
    <col width="20" customWidth="1" min="8" max="8"/>
    <col width="35" customWidth="1" min="9" max="9"/>
  </cols>
  <sheetData>
    <row r="1">
      <c r="A1" s="4" t="inlineStr">
        <is>
          <t>Video ID</t>
        </is>
      </c>
      <c r="B1" s="4" t="inlineStr">
        <is>
          <t>Category</t>
        </is>
      </c>
      <c r="C1" s="4" t="inlineStr">
        <is>
          <t>Error Type</t>
        </is>
      </c>
      <c r="D1" s="4" t="inlineStr">
        <is>
          <t>Version(s)</t>
        </is>
      </c>
      <c r="E1" s="4" t="inlineStr">
        <is>
          <t>Ground Truth</t>
        </is>
      </c>
      <c r="F1" s="4" t="inlineStr">
        <is>
          <t>Model Said</t>
        </is>
      </c>
      <c r="G1" s="4" t="inlineStr">
        <is>
          <t>Why Wrong?</t>
        </is>
      </c>
      <c r="H1" s="4" t="inlineStr">
        <is>
          <t>Fixed in Clean Version?</t>
        </is>
      </c>
      <c r="I1" s="4" t="inlineStr">
        <is>
          <t>Root Cause</t>
        </is>
      </c>
    </row>
    <row r="2">
      <c r="A2" s="15" t="inlineStr">
        <is>
          <t>V04</t>
        </is>
      </c>
      <c r="B2" s="15" t="inlineStr">
        <is>
          <t>Fake News</t>
        </is>
      </c>
      <c r="C2" s="15" t="inlineStr">
        <is>
          <t>False Negative</t>
        </is>
      </c>
      <c r="D2" s="15" t="inlineStr">
        <is>
          <t>A</t>
        </is>
      </c>
      <c r="E2" s="15" t="inlineStr">
        <is>
          <t>FAKE</t>
        </is>
      </c>
      <c r="F2" s="15" t="inlineStr">
        <is>
          <t>REAL</t>
        </is>
      </c>
      <c r="G2" s="16" t="inlineStr">
        <is>
          <t>No watermark to rely on, subtle artifacts</t>
        </is>
      </c>
      <c r="H2" s="15" t="inlineStr">
        <is>
          <t>YES (B,C)</t>
        </is>
      </c>
      <c r="I2" s="16" t="inlineStr">
        <is>
          <t>High quality deepfake</t>
        </is>
      </c>
    </row>
    <row r="3">
      <c r="A3" s="15" t="inlineStr">
        <is>
          <t>V12</t>
        </is>
      </c>
      <c r="B3" s="15" t="inlineStr">
        <is>
          <t>Meme AI</t>
        </is>
      </c>
      <c r="C3" s="15" t="inlineStr">
        <is>
          <t>False Positive</t>
        </is>
      </c>
      <c r="D3" s="15" t="inlineStr">
        <is>
          <t>A,B,C</t>
        </is>
      </c>
      <c r="E3" s="15" t="inlineStr">
        <is>
          <t>REAL</t>
        </is>
      </c>
      <c r="F3" s="15" t="inlineStr">
        <is>
          <t>FAKE</t>
        </is>
      </c>
      <c r="G3" s="16" t="inlineStr">
        <is>
          <t>Stylized content misinterpreted</t>
        </is>
      </c>
      <c r="H3" s="15" t="inlineStr">
        <is>
          <t>NO</t>
        </is>
      </c>
      <c r="I3" s="16" t="inlineStr">
        <is>
          <t>Stylization vs generation confusion</t>
        </is>
      </c>
    </row>
    <row r="4">
      <c r="A4" s="15" t="inlineStr">
        <is>
          <t>V23</t>
        </is>
      </c>
      <c r="B4" s="15" t="inlineStr">
        <is>
          <t>Face Swap</t>
        </is>
      </c>
      <c r="C4" s="15" t="inlineStr">
        <is>
          <t>Wrong Confidence</t>
        </is>
      </c>
      <c r="D4" s="15" t="inlineStr">
        <is>
          <t>A</t>
        </is>
      </c>
      <c r="E4" s="15" t="inlineStr">
        <is>
          <t>FAKE</t>
        </is>
      </c>
      <c r="F4" s="15" t="inlineStr">
        <is>
          <t>FAKE (Low)</t>
        </is>
      </c>
      <c r="G4" s="16" t="inlineStr">
        <is>
          <t>Correct verdict but uncertain</t>
        </is>
      </c>
      <c r="H4" s="15" t="inlineStr">
        <is>
          <t>YES</t>
        </is>
      </c>
      <c r="I4" s="16" t="inlineStr">
        <is>
          <t>Watermark distracted from artifacts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0" customWidth="1" min="4" max="4"/>
    <col width="25" customWidth="1" min="5" max="5"/>
    <col width="12" customWidth="1" min="6" max="6"/>
  </cols>
  <sheetData>
    <row r="1">
      <c r="A1" s="3" t="inlineStr">
        <is>
          <t>Video ID</t>
        </is>
      </c>
      <c r="B1" s="3" t="inlineStr">
        <is>
          <t>Version</t>
        </is>
      </c>
      <c r="C1" s="3" t="inlineStr">
        <is>
          <t>Verdict</t>
        </is>
      </c>
      <c r="D1" s="3" t="inlineStr">
        <is>
          <t>Full Reasoning Text</t>
        </is>
      </c>
      <c r="E1" s="3" t="inlineStr">
        <is>
          <t>Artifact Types Mentioned</t>
        </is>
      </c>
      <c r="F1" s="3" t="inlineStr">
        <is>
          <t>Quality Score (1-5)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Acc (A)</t>
        </is>
      </c>
      <c r="D1" s="2" t="inlineStr">
        <is>
          <t>Acc (B)</t>
        </is>
      </c>
      <c r="E1" s="2" t="inlineStr">
        <is>
          <t>Acc (C)</t>
        </is>
      </c>
      <c r="F1" s="2" t="inlineStr">
        <is>
          <t>Watermark Rate (A)</t>
        </is>
      </c>
      <c r="G1" s="2" t="inlineStr">
        <is>
          <t>Artifact Rate (B)</t>
        </is>
      </c>
      <c r="H1" s="2" t="inlineStr">
        <is>
          <t>Improvement (A→B)</t>
        </is>
      </c>
    </row>
    <row r="2">
      <c r="A2" s="6" t="inlineStr">
        <is>
          <t>Face Swap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</row>
    <row r="3">
      <c r="A3" s="6" t="inlineStr">
        <is>
          <t>Lip-Sync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</row>
    <row r="4">
      <c r="A4" s="6" t="inlineStr">
        <is>
          <t>Meme AI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>
        <is>
          <t>Fake News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>
        <is>
          <t>Body Swap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>
        <is>
          <t>Full Synthesis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14" t="inlineStr">
        <is>
          <t>TOTAL</t>
        </is>
      </c>
      <c r="B8" s="14">
        <f>SUM(B2:B7)</f>
        <v/>
      </c>
      <c r="C8" s="14" t="inlineStr"/>
      <c r="D8" s="14" t="inlineStr"/>
      <c r="E8" s="14" t="inlineStr"/>
      <c r="F8" s="14" t="inlineStr"/>
      <c r="G8" s="14" t="inlineStr"/>
      <c r="H8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2026-01-20T00:32:12Z</dcterms:created>
  <dcterms:modified xmlns:dcterms="http://purl.org/dc/terms/" xmlns:xsi="http://www.w3.org/2001/XMLSchema-instance" xsi:type="dcterms:W3CDTF">2026-01-20T00:32:13Z</dcterms:modified>
</cp:coreProperties>
</file>